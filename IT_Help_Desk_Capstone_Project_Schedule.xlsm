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roject Schedule" sheetId="1" r:id="rId4"/>
  </sheets>
  <definedNames/>
  <calcPr/>
  <extLst>
    <ext uri="GoogleSheetsCustomDataVersion2">
      <go:sheetsCustomData xmlns:go="http://customooxmlschemas.google.com/" r:id="rId5" roundtripDataChecksum="MGNhrkq49kE7HmoySaVgSy7KOGGaqLR4rML0FkwAJ8M="/>
    </ext>
  </extLst>
</workbook>
</file>

<file path=xl/sharedStrings.xml><?xml version="1.0" encoding="utf-8"?>
<sst xmlns="http://schemas.openxmlformats.org/spreadsheetml/2006/main" count="111" uniqueCount="56">
  <si>
    <t>IT Help Desk Ticket Tracker - Capstone Project Schedule</t>
  </si>
  <si>
    <t>Project</t>
  </si>
  <si>
    <t>IT Help Desk Ticket Tracker</t>
  </si>
  <si>
    <t>Total Tasks</t>
  </si>
  <si>
    <t>Final Presentation Due</t>
  </si>
  <si>
    <t>Milestones</t>
  </si>
  <si>
    <t>Presentation Requirement</t>
  </si>
  <si>
    <t>Unlisted YouTube video, maximum 7 minutes</t>
  </si>
  <si>
    <t>Project Start</t>
  </si>
  <si>
    <t>Presentation Focus</t>
  </si>
  <si>
    <t>Sell the product: strengths, features, usability; avoid setup/technical details</t>
  </si>
  <si>
    <t>Final Deadline</t>
  </si>
  <si>
    <t>Task</t>
  </si>
  <si>
    <t>Phase</t>
  </si>
  <si>
    <t>Owner</t>
  </si>
  <si>
    <t>Status</t>
  </si>
  <si>
    <t>Start</t>
  </si>
  <si>
    <t>Finish</t>
  </si>
  <si>
    <t>% Complete</t>
  </si>
  <si>
    <t>Milestone</t>
  </si>
  <si>
    <t>Finalize problem statement and project scope</t>
  </si>
  <si>
    <t>Planning &amp; Research</t>
  </si>
  <si>
    <t>Thomas</t>
  </si>
  <si>
    <t>In Progress</t>
  </si>
  <si>
    <t>Yes</t>
  </si>
  <si>
    <t>Complete research findings and citations</t>
  </si>
  <si>
    <t>Team</t>
  </si>
  <si>
    <t>No</t>
  </si>
  <si>
    <t>Define functional requirements and user roles</t>
  </si>
  <si>
    <t>Not Started</t>
  </si>
  <si>
    <t>Design database tables and relationships</t>
  </si>
  <si>
    <t>System Design</t>
  </si>
  <si>
    <t>Corei</t>
  </si>
  <si>
    <t>Create page layout and interface wireframes</t>
  </si>
  <si>
    <t>Terry</t>
  </si>
  <si>
    <t>Build user sign-in and role structure</t>
  </si>
  <si>
    <t>Development</t>
  </si>
  <si>
    <t>Build ticket submission form</t>
  </si>
  <si>
    <t>Build ticket database storage and unique IDs</t>
  </si>
  <si>
    <t>Build IT staff dashboard</t>
  </si>
  <si>
    <t>Add technician assignment and priority levels</t>
  </si>
  <si>
    <t>Add Open / In Progress / Resolved status workflow</t>
  </si>
  <si>
    <t>Bianca</t>
  </si>
  <si>
    <t>Add troubleshooting notes and resolution history</t>
  </si>
  <si>
    <t>Integrate all application features</t>
  </si>
  <si>
    <t>Integration &amp; Testing</t>
  </si>
  <si>
    <t>Functional testing and permissions testing</t>
  </si>
  <si>
    <t>Fix bugs and improve usability</t>
  </si>
  <si>
    <t>Final application quality check</t>
  </si>
  <si>
    <t>Finalization</t>
  </si>
  <si>
    <t>Prepare 7-minute sales-style presentation and script</t>
  </si>
  <si>
    <t>Presentation</t>
  </si>
  <si>
    <t>Thomas / Group</t>
  </si>
  <si>
    <t>Rehearse, record, review video, and submit YouTube link</t>
  </si>
  <si>
    <t>Entire Group</t>
  </si>
  <si>
    <t>Deadline note: Final presentation is due December 4, 2026 by 11:59 p.m. The product should be fully working and presented as a professional sales pitch, not as a technical build demonstration.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</si>
</sst>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mmm d, yyyy h:mm AM/PM"/>
    <numFmt numFmtId="165" formatCode="mmm d, yyyy"/>
    <numFmt numFmtId="166" formatCode="mmm d"/>
    <numFmt numFmtId="167" formatCode="0&quot;%&quot;"/>
  </numFmts>
  <fonts count="6">
    <font>
      <sz val="11.0"/>
      <color rgb="FF000000"/>
      <name val="Carlito"/>
      <scheme val="minor"/>
    </font>
    <font>
      <b/>
      <sz val="16.0"/>
      <color rgb="FFFFFFFF"/>
      <name val="Carlito"/>
    </font>
    <font>
      <b/>
      <sz val="11.0"/>
      <color theme="1"/>
      <name val="Carlito"/>
    </font>
    <font>
      <sz val="11.0"/>
      <color theme="1"/>
      <name val="Carlito"/>
    </font>
    <font>
      <b/>
      <sz val="11.0"/>
      <color rgb="FFFFFFFF"/>
      <name val="Carlito"/>
    </font>
    <font>
      <i/>
      <sz val="11.0"/>
      <color theme="1"/>
      <name val="Carlito"/>
    </font>
  </fonts>
  <fills count="7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E2F0D9"/>
        <bgColor rgb="FFE2F0D9"/>
      </patternFill>
    </fill>
    <fill>
      <patternFill patternType="solid">
        <fgColor rgb="FF4472C4"/>
        <bgColor rgb="FF4472C4"/>
      </patternFill>
    </fill>
    <fill>
      <patternFill patternType="solid">
        <fgColor rgb="FFFFF2CC"/>
        <bgColor rgb="FFFFF2CC"/>
      </patternFill>
    </fill>
  </fills>
  <borders count="1">
    <border/>
  </borders>
  <cellStyleXfs count="1">
    <xf borderId="0" fillId="0" fontId="0" numFmtId="0" applyAlignment="1" applyFont="1"/>
  </cellStyleXfs>
  <cellXfs count="17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vertical="center" wrapText="1"/>
    </xf>
    <xf borderId="0" fillId="3" fontId="2" numFmtId="0" xfId="0" applyAlignment="1" applyFill="1" applyFont="1">
      <alignment vertical="top"/>
    </xf>
    <xf borderId="0" fillId="0" fontId="3" numFmtId="0" xfId="0" applyAlignment="1" applyFont="1">
      <alignment shrinkToFit="0" wrapText="1"/>
    </xf>
    <xf borderId="0" fillId="0" fontId="3" numFmtId="0" xfId="0" applyFont="1"/>
    <xf borderId="0" fillId="4" fontId="2" numFmtId="0" xfId="0" applyFill="1" applyFont="1"/>
    <xf borderId="0" fillId="0" fontId="3" numFmtId="164" xfId="0" applyAlignment="1" applyFont="1" applyNumberFormat="1">
      <alignment shrinkToFit="0" wrapText="1"/>
    </xf>
    <xf borderId="0" fillId="0" fontId="3" numFmtId="165" xfId="0" applyFont="1" applyNumberFormat="1"/>
    <xf borderId="0" fillId="5" fontId="4" numFmtId="0" xfId="0" applyAlignment="1" applyFill="1" applyFont="1">
      <alignment horizontal="center" readingOrder="0" shrinkToFit="0" vertical="center" wrapText="1"/>
    </xf>
    <xf borderId="0" fillId="5" fontId="4" numFmtId="166" xfId="0" applyAlignment="1" applyFill="1" applyFont="1" applyNumberFormat="1">
      <alignment horizontal="center" shrinkToFit="0" vertical="center" wrapText="1"/>
    </xf>
    <xf borderId="0" fillId="0" fontId="3" numFmtId="0" xfId="0" applyAlignment="1" applyFont="1">
      <alignment shrinkToFit="0" vertical="center" wrapText="1"/>
    </xf>
    <xf borderId="0" fillId="0" fontId="3" numFmtId="165" xfId="0" applyAlignment="1" applyFont="1" applyNumberFormat="1">
      <alignment shrinkToFit="0" vertical="center" wrapText="0"/>
    </xf>
    <xf borderId="0" fillId="0" fontId="3" numFmtId="167" xfId="0" applyAlignment="1" applyFont="1" applyNumberFormat="1">
      <alignment shrinkToFit="0" vertical="center" wrapText="0"/>
    </xf>
    <xf borderId="0" fillId="0" fontId="3" numFmtId="0" xfId="0" applyAlignment="1" applyFont="1">
      <alignment shrinkToFit="0" vertical="center" wrapText="0"/>
    </xf>
    <xf borderId="0" fillId="0" fontId="3" numFmtId="0" xfId="0" applyAlignment="1" applyFont="1">
      <alignment horizontal="center" vertical="center"/>
    </xf>
    <xf borderId="0" fillId="0" fontId="3" numFmtId="0" xfId="0" applyAlignment="1" applyFont="1">
      <alignment readingOrder="0" shrinkToFit="0" vertical="center" wrapText="1"/>
    </xf>
    <xf borderId="0" fillId="6" fontId="5" numFmtId="0" xfId="0" applyAlignment="1" applyFill="1" applyFont="1">
      <alignment shrinkToFit="0" wrapText="1"/>
    </xf>
  </cellXfs>
  <cellStyles count="1">
    <cellStyle xfId="0" name="Normal" builtinId="0"/>
  </cellStyles>
  <dxfs count="10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/>
      <fill>
        <patternFill patternType="solid">
          <fgColor rgb="FFC6E0B4"/>
          <bgColor rgb="FFC6E0B4"/>
        </patternFill>
      </fill>
      <border/>
    </dxf>
    <dxf>
      <font/>
      <fill>
        <patternFill patternType="solid">
          <fgColor rgb="FFFFE699"/>
          <bgColor rgb="FFFFE699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color rgb="FF70AD47"/>
      </font>
      <fill>
        <patternFill patternType="solid">
          <fgColor rgb="FF70AD47"/>
          <bgColor rgb="FF70AD47"/>
        </patternFill>
      </fill>
      <border/>
    </dxf>
    <dxf>
      <font>
        <b/>
      </font>
      <fill>
        <patternFill patternType="none"/>
      </fill>
      <border/>
    </dxf>
  </dxfs>
  <tableStyles count="1">
    <tableStyle count="4" pivot="0" name="Project Schedule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8:H26" displayName="CapstoneTasks" name="CapstoneTasks" id="1">
  <tableColumns count="8">
    <tableColumn name="Task" id="1"/>
    <tableColumn name="Phase" id="2"/>
    <tableColumn name="Owner" id="3"/>
    <tableColumn name="Status" id="4"/>
    <tableColumn name="Start" id="5"/>
    <tableColumn name="Finish" id="6"/>
    <tableColumn name="% Complete" id="7"/>
    <tableColumn name="Milestone" id="8"/>
  </tableColumns>
  <tableStyleInfo name="Project Schedule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8.0"/>
    <col customWidth="1" min="2" max="2" width="22.0"/>
    <col customWidth="1" min="3" max="3" width="16.0"/>
    <col customWidth="1" min="4" max="4" width="15.0"/>
    <col customWidth="1" min="5" max="6" width="14.0"/>
    <col customWidth="1" min="7" max="7" width="12.0"/>
    <col customWidth="1" min="8" max="21" width="11.0"/>
    <col customWidth="1" min="22" max="26" width="8.63"/>
  </cols>
  <sheetData>
    <row r="1" ht="27.75" customHeight="1">
      <c r="A1" s="1" t="s">
        <v>0</v>
      </c>
    </row>
    <row r="3">
      <c r="A3" s="2" t="s">
        <v>1</v>
      </c>
      <c r="B3" s="3" t="s">
        <v>2</v>
      </c>
      <c r="C3" s="4"/>
      <c r="D3" s="5" t="s">
        <v>3</v>
      </c>
      <c r="E3" s="4">
        <f>COUNTA(A9:A26)</f>
        <v>18</v>
      </c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</row>
    <row r="4">
      <c r="A4" s="2" t="s">
        <v>4</v>
      </c>
      <c r="B4" s="6">
        <v>46360.99930555555</v>
      </c>
      <c r="C4" s="4"/>
      <c r="D4" s="5" t="s">
        <v>5</v>
      </c>
      <c r="E4" s="4">
        <f>COUNTIF(H9:H26,"Yes")</f>
        <v>7</v>
      </c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</row>
    <row r="5">
      <c r="A5" s="2" t="s">
        <v>6</v>
      </c>
      <c r="B5" s="3" t="s">
        <v>7</v>
      </c>
      <c r="C5" s="4"/>
      <c r="D5" s="5" t="s">
        <v>8</v>
      </c>
      <c r="E5" s="7">
        <f>MIN(E9:E26)</f>
        <v>46274</v>
      </c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</row>
    <row r="6">
      <c r="A6" s="2" t="s">
        <v>9</v>
      </c>
      <c r="B6" s="3" t="s">
        <v>10</v>
      </c>
      <c r="C6" s="4"/>
      <c r="D6" s="5" t="s">
        <v>11</v>
      </c>
      <c r="E6" s="7">
        <f>MAX(F9:F26)</f>
        <v>46360</v>
      </c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</row>
    <row r="7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</row>
    <row r="8" ht="33.75" customHeight="1">
      <c r="A8" s="8" t="s">
        <v>12</v>
      </c>
      <c r="B8" s="8" t="s">
        <v>13</v>
      </c>
      <c r="C8" s="8" t="s">
        <v>14</v>
      </c>
      <c r="D8" s="8" t="s">
        <v>15</v>
      </c>
      <c r="E8" s="8" t="s">
        <v>16</v>
      </c>
      <c r="F8" s="8" t="s">
        <v>17</v>
      </c>
      <c r="G8" s="8" t="s">
        <v>18</v>
      </c>
      <c r="H8" s="8" t="s">
        <v>19</v>
      </c>
      <c r="I8" s="9">
        <v>46272.0</v>
      </c>
      <c r="J8" s="9">
        <v>46279.0</v>
      </c>
      <c r="K8" s="9">
        <v>46286.0</v>
      </c>
      <c r="L8" s="9">
        <v>46293.0</v>
      </c>
      <c r="M8" s="9">
        <v>46300.0</v>
      </c>
      <c r="N8" s="9">
        <v>46307.0</v>
      </c>
      <c r="O8" s="9">
        <v>46314.0</v>
      </c>
      <c r="P8" s="9">
        <v>46321.0</v>
      </c>
      <c r="Q8" s="9">
        <v>46328.0</v>
      </c>
      <c r="R8" s="9">
        <v>46335.0</v>
      </c>
      <c r="S8" s="9">
        <v>46342.0</v>
      </c>
      <c r="T8" s="9">
        <v>46349.0</v>
      </c>
      <c r="U8" s="9">
        <v>46356.0</v>
      </c>
    </row>
    <row r="9">
      <c r="A9" s="10" t="s">
        <v>20</v>
      </c>
      <c r="B9" s="10" t="s">
        <v>21</v>
      </c>
      <c r="C9" s="10" t="s">
        <v>22</v>
      </c>
      <c r="D9" s="10" t="s">
        <v>23</v>
      </c>
      <c r="E9" s="11">
        <v>46274.0</v>
      </c>
      <c r="F9" s="11">
        <v>46276.0</v>
      </c>
      <c r="G9" s="12">
        <v>70.0</v>
      </c>
      <c r="H9" s="13" t="s">
        <v>24</v>
      </c>
      <c r="I9" s="14" t="str">
        <f t="shared" ref="I9:U9" si="1">IF(AND(I$8&lt;=$F9,I$8+6&gt;=$E9),"■","")</f>
        <v>■</v>
      </c>
      <c r="J9" s="14" t="str">
        <f t="shared" si="1"/>
        <v/>
      </c>
      <c r="K9" s="14" t="str">
        <f t="shared" si="1"/>
        <v/>
      </c>
      <c r="L9" s="14" t="str">
        <f t="shared" si="1"/>
        <v/>
      </c>
      <c r="M9" s="14" t="str">
        <f t="shared" si="1"/>
        <v/>
      </c>
      <c r="N9" s="14" t="str">
        <f t="shared" si="1"/>
        <v/>
      </c>
      <c r="O9" s="14" t="str">
        <f t="shared" si="1"/>
        <v/>
      </c>
      <c r="P9" s="14" t="str">
        <f t="shared" si="1"/>
        <v/>
      </c>
      <c r="Q9" s="14" t="str">
        <f t="shared" si="1"/>
        <v/>
      </c>
      <c r="R9" s="14" t="str">
        <f t="shared" si="1"/>
        <v/>
      </c>
      <c r="S9" s="14" t="str">
        <f t="shared" si="1"/>
        <v/>
      </c>
      <c r="T9" s="14" t="str">
        <f t="shared" si="1"/>
        <v/>
      </c>
      <c r="U9" s="14" t="str">
        <f t="shared" si="1"/>
        <v/>
      </c>
    </row>
    <row r="10">
      <c r="A10" s="10" t="s">
        <v>25</v>
      </c>
      <c r="B10" s="10" t="s">
        <v>21</v>
      </c>
      <c r="C10" s="15" t="s">
        <v>26</v>
      </c>
      <c r="D10" s="10" t="s">
        <v>23</v>
      </c>
      <c r="E10" s="11">
        <v>46274.0</v>
      </c>
      <c r="F10" s="11">
        <v>46281.0</v>
      </c>
      <c r="G10" s="12">
        <v>60.0</v>
      </c>
      <c r="H10" s="13" t="s">
        <v>27</v>
      </c>
      <c r="I10" s="14" t="str">
        <f t="shared" ref="I10:U10" si="2">IF(AND(I$8&lt;=$F10,I$8+6&gt;=$E10),"■","")</f>
        <v>■</v>
      </c>
      <c r="J10" s="14" t="str">
        <f t="shared" si="2"/>
        <v>■</v>
      </c>
      <c r="K10" s="14" t="str">
        <f t="shared" si="2"/>
        <v/>
      </c>
      <c r="L10" s="14" t="str">
        <f t="shared" si="2"/>
        <v/>
      </c>
      <c r="M10" s="14" t="str">
        <f t="shared" si="2"/>
        <v/>
      </c>
      <c r="N10" s="14" t="str">
        <f t="shared" si="2"/>
        <v/>
      </c>
      <c r="O10" s="14" t="str">
        <f t="shared" si="2"/>
        <v/>
      </c>
      <c r="P10" s="14" t="str">
        <f t="shared" si="2"/>
        <v/>
      </c>
      <c r="Q10" s="14" t="str">
        <f t="shared" si="2"/>
        <v/>
      </c>
      <c r="R10" s="14" t="str">
        <f t="shared" si="2"/>
        <v/>
      </c>
      <c r="S10" s="14" t="str">
        <f t="shared" si="2"/>
        <v/>
      </c>
      <c r="T10" s="14" t="str">
        <f t="shared" si="2"/>
        <v/>
      </c>
      <c r="U10" s="14" t="str">
        <f t="shared" si="2"/>
        <v/>
      </c>
    </row>
    <row r="11">
      <c r="A11" s="10" t="s">
        <v>28</v>
      </c>
      <c r="B11" s="10" t="s">
        <v>21</v>
      </c>
      <c r="C11" s="10" t="s">
        <v>22</v>
      </c>
      <c r="D11" s="10" t="s">
        <v>29</v>
      </c>
      <c r="E11" s="11">
        <v>46279.0</v>
      </c>
      <c r="F11" s="11">
        <v>46283.0</v>
      </c>
      <c r="G11" s="12">
        <v>0.0</v>
      </c>
      <c r="H11" s="13" t="s">
        <v>24</v>
      </c>
      <c r="I11" s="14" t="str">
        <f t="shared" ref="I11:U11" si="3">IF(AND(I$8&lt;=$F11,I$8+6&gt;=$E11),"■","")</f>
        <v/>
      </c>
      <c r="J11" s="14" t="str">
        <f t="shared" si="3"/>
        <v>■</v>
      </c>
      <c r="K11" s="14" t="str">
        <f t="shared" si="3"/>
        <v/>
      </c>
      <c r="L11" s="14" t="str">
        <f t="shared" si="3"/>
        <v/>
      </c>
      <c r="M11" s="14" t="str">
        <f t="shared" si="3"/>
        <v/>
      </c>
      <c r="N11" s="14" t="str">
        <f t="shared" si="3"/>
        <v/>
      </c>
      <c r="O11" s="14" t="str">
        <f t="shared" si="3"/>
        <v/>
      </c>
      <c r="P11" s="14" t="str">
        <f t="shared" si="3"/>
        <v/>
      </c>
      <c r="Q11" s="14" t="str">
        <f t="shared" si="3"/>
        <v/>
      </c>
      <c r="R11" s="14" t="str">
        <f t="shared" si="3"/>
        <v/>
      </c>
      <c r="S11" s="14" t="str">
        <f t="shared" si="3"/>
        <v/>
      </c>
      <c r="T11" s="14" t="str">
        <f t="shared" si="3"/>
        <v/>
      </c>
      <c r="U11" s="14" t="str">
        <f t="shared" si="3"/>
        <v/>
      </c>
    </row>
    <row r="12">
      <c r="A12" s="10" t="s">
        <v>30</v>
      </c>
      <c r="B12" s="10" t="s">
        <v>31</v>
      </c>
      <c r="C12" s="15" t="s">
        <v>32</v>
      </c>
      <c r="D12" s="10" t="s">
        <v>29</v>
      </c>
      <c r="E12" s="11">
        <v>46282.0</v>
      </c>
      <c r="F12" s="11">
        <v>46288.0</v>
      </c>
      <c r="G12" s="12">
        <v>0.0</v>
      </c>
      <c r="H12" s="13" t="s">
        <v>27</v>
      </c>
      <c r="I12" s="14" t="str">
        <f t="shared" ref="I12:U12" si="4">IF(AND(I$8&lt;=$F12,I$8+6&gt;=$E12),"■","")</f>
        <v/>
      </c>
      <c r="J12" s="14" t="str">
        <f t="shared" si="4"/>
        <v>■</v>
      </c>
      <c r="K12" s="14" t="str">
        <f t="shared" si="4"/>
        <v>■</v>
      </c>
      <c r="L12" s="14" t="str">
        <f t="shared" si="4"/>
        <v/>
      </c>
      <c r="M12" s="14" t="str">
        <f t="shared" si="4"/>
        <v/>
      </c>
      <c r="N12" s="14" t="str">
        <f t="shared" si="4"/>
        <v/>
      </c>
      <c r="O12" s="14" t="str">
        <f t="shared" si="4"/>
        <v/>
      </c>
      <c r="P12" s="14" t="str">
        <f t="shared" si="4"/>
        <v/>
      </c>
      <c r="Q12" s="14" t="str">
        <f t="shared" si="4"/>
        <v/>
      </c>
      <c r="R12" s="14" t="str">
        <f t="shared" si="4"/>
        <v/>
      </c>
      <c r="S12" s="14" t="str">
        <f t="shared" si="4"/>
        <v/>
      </c>
      <c r="T12" s="14" t="str">
        <f t="shared" si="4"/>
        <v/>
      </c>
      <c r="U12" s="14" t="str">
        <f t="shared" si="4"/>
        <v/>
      </c>
    </row>
    <row r="13">
      <c r="A13" s="10" t="s">
        <v>33</v>
      </c>
      <c r="B13" s="10" t="s">
        <v>31</v>
      </c>
      <c r="C13" s="15" t="s">
        <v>34</v>
      </c>
      <c r="D13" s="10" t="s">
        <v>29</v>
      </c>
      <c r="E13" s="11">
        <v>46286.0</v>
      </c>
      <c r="F13" s="11">
        <v>46290.0</v>
      </c>
      <c r="G13" s="12">
        <v>0.0</v>
      </c>
      <c r="H13" s="13" t="s">
        <v>27</v>
      </c>
      <c r="I13" s="14" t="str">
        <f t="shared" ref="I13:U13" si="5">IF(AND(I$8&lt;=$F13,I$8+6&gt;=$E13),"■","")</f>
        <v/>
      </c>
      <c r="J13" s="14" t="str">
        <f t="shared" si="5"/>
        <v/>
      </c>
      <c r="K13" s="14" t="str">
        <f t="shared" si="5"/>
        <v>■</v>
      </c>
      <c r="L13" s="14" t="str">
        <f t="shared" si="5"/>
        <v/>
      </c>
      <c r="M13" s="14" t="str">
        <f t="shared" si="5"/>
        <v/>
      </c>
      <c r="N13" s="14" t="str">
        <f t="shared" si="5"/>
        <v/>
      </c>
      <c r="O13" s="14" t="str">
        <f t="shared" si="5"/>
        <v/>
      </c>
      <c r="P13" s="14" t="str">
        <f t="shared" si="5"/>
        <v/>
      </c>
      <c r="Q13" s="14" t="str">
        <f t="shared" si="5"/>
        <v/>
      </c>
      <c r="R13" s="14" t="str">
        <f t="shared" si="5"/>
        <v/>
      </c>
      <c r="S13" s="14" t="str">
        <f t="shared" si="5"/>
        <v/>
      </c>
      <c r="T13" s="14" t="str">
        <f t="shared" si="5"/>
        <v/>
      </c>
      <c r="U13" s="14" t="str">
        <f t="shared" si="5"/>
        <v/>
      </c>
    </row>
    <row r="14">
      <c r="A14" s="10" t="s">
        <v>35</v>
      </c>
      <c r="B14" s="10" t="s">
        <v>36</v>
      </c>
      <c r="C14" s="15" t="s">
        <v>34</v>
      </c>
      <c r="D14" s="10" t="s">
        <v>29</v>
      </c>
      <c r="E14" s="11">
        <v>46289.0</v>
      </c>
      <c r="F14" s="11">
        <v>46297.0</v>
      </c>
      <c r="G14" s="12">
        <v>0.0</v>
      </c>
      <c r="H14" s="13" t="s">
        <v>27</v>
      </c>
      <c r="I14" s="14" t="str">
        <f t="shared" ref="I14:U14" si="6">IF(AND(I$8&lt;=$F14,I$8+6&gt;=$E14),"■","")</f>
        <v/>
      </c>
      <c r="J14" s="14" t="str">
        <f t="shared" si="6"/>
        <v/>
      </c>
      <c r="K14" s="14" t="str">
        <f t="shared" si="6"/>
        <v>■</v>
      </c>
      <c r="L14" s="14" t="str">
        <f t="shared" si="6"/>
        <v>■</v>
      </c>
      <c r="M14" s="14" t="str">
        <f t="shared" si="6"/>
        <v/>
      </c>
      <c r="N14" s="14" t="str">
        <f t="shared" si="6"/>
        <v/>
      </c>
      <c r="O14" s="14" t="str">
        <f t="shared" si="6"/>
        <v/>
      </c>
      <c r="P14" s="14" t="str">
        <f t="shared" si="6"/>
        <v/>
      </c>
      <c r="Q14" s="14" t="str">
        <f t="shared" si="6"/>
        <v/>
      </c>
      <c r="R14" s="14" t="str">
        <f t="shared" si="6"/>
        <v/>
      </c>
      <c r="S14" s="14" t="str">
        <f t="shared" si="6"/>
        <v/>
      </c>
      <c r="T14" s="14" t="str">
        <f t="shared" si="6"/>
        <v/>
      </c>
      <c r="U14" s="14" t="str">
        <f t="shared" si="6"/>
        <v/>
      </c>
    </row>
    <row r="15">
      <c r="A15" s="10" t="s">
        <v>37</v>
      </c>
      <c r="B15" s="10" t="s">
        <v>36</v>
      </c>
      <c r="C15" s="15" t="s">
        <v>34</v>
      </c>
      <c r="D15" s="10" t="s">
        <v>29</v>
      </c>
      <c r="E15" s="11">
        <v>46293.0</v>
      </c>
      <c r="F15" s="11">
        <v>46302.0</v>
      </c>
      <c r="G15" s="12">
        <v>0.0</v>
      </c>
      <c r="H15" s="13" t="s">
        <v>27</v>
      </c>
      <c r="I15" s="14" t="str">
        <f t="shared" ref="I15:U15" si="7">IF(AND(I$8&lt;=$F15,I$8+6&gt;=$E15),"■","")</f>
        <v/>
      </c>
      <c r="J15" s="14" t="str">
        <f t="shared" si="7"/>
        <v/>
      </c>
      <c r="K15" s="14" t="str">
        <f t="shared" si="7"/>
        <v/>
      </c>
      <c r="L15" s="14" t="str">
        <f t="shared" si="7"/>
        <v>■</v>
      </c>
      <c r="M15" s="14" t="str">
        <f t="shared" si="7"/>
        <v>■</v>
      </c>
      <c r="N15" s="14" t="str">
        <f t="shared" si="7"/>
        <v/>
      </c>
      <c r="O15" s="14" t="str">
        <f t="shared" si="7"/>
        <v/>
      </c>
      <c r="P15" s="14" t="str">
        <f t="shared" si="7"/>
        <v/>
      </c>
      <c r="Q15" s="14" t="str">
        <f t="shared" si="7"/>
        <v/>
      </c>
      <c r="R15" s="14" t="str">
        <f t="shared" si="7"/>
        <v/>
      </c>
      <c r="S15" s="14" t="str">
        <f t="shared" si="7"/>
        <v/>
      </c>
      <c r="T15" s="14" t="str">
        <f t="shared" si="7"/>
        <v/>
      </c>
      <c r="U15" s="14" t="str">
        <f t="shared" si="7"/>
        <v/>
      </c>
    </row>
    <row r="16">
      <c r="A16" s="10" t="s">
        <v>38</v>
      </c>
      <c r="B16" s="10" t="s">
        <v>36</v>
      </c>
      <c r="C16" s="15" t="s">
        <v>32</v>
      </c>
      <c r="D16" s="10" t="s">
        <v>29</v>
      </c>
      <c r="E16" s="11">
        <v>46296.0</v>
      </c>
      <c r="F16" s="11">
        <v>46304.0</v>
      </c>
      <c r="G16" s="12">
        <v>0.0</v>
      </c>
      <c r="H16" s="13" t="s">
        <v>24</v>
      </c>
      <c r="I16" s="14" t="str">
        <f t="shared" ref="I16:U16" si="8">IF(AND(I$8&lt;=$F16,I$8+6&gt;=$E16),"■","")</f>
        <v/>
      </c>
      <c r="J16" s="14" t="str">
        <f t="shared" si="8"/>
        <v/>
      </c>
      <c r="K16" s="14" t="str">
        <f t="shared" si="8"/>
        <v/>
      </c>
      <c r="L16" s="14" t="str">
        <f t="shared" si="8"/>
        <v>■</v>
      </c>
      <c r="M16" s="14" t="str">
        <f t="shared" si="8"/>
        <v>■</v>
      </c>
      <c r="N16" s="14" t="str">
        <f t="shared" si="8"/>
        <v/>
      </c>
      <c r="O16" s="14" t="str">
        <f t="shared" si="8"/>
        <v/>
      </c>
      <c r="P16" s="14" t="str">
        <f t="shared" si="8"/>
        <v/>
      </c>
      <c r="Q16" s="14" t="str">
        <f t="shared" si="8"/>
        <v/>
      </c>
      <c r="R16" s="14" t="str">
        <f t="shared" si="8"/>
        <v/>
      </c>
      <c r="S16" s="14" t="str">
        <f t="shared" si="8"/>
        <v/>
      </c>
      <c r="T16" s="14" t="str">
        <f t="shared" si="8"/>
        <v/>
      </c>
      <c r="U16" s="14" t="str">
        <f t="shared" si="8"/>
        <v/>
      </c>
    </row>
    <row r="17">
      <c r="A17" s="10" t="s">
        <v>39</v>
      </c>
      <c r="B17" s="10" t="s">
        <v>36</v>
      </c>
      <c r="C17" s="15" t="s">
        <v>34</v>
      </c>
      <c r="D17" s="10" t="s">
        <v>29</v>
      </c>
      <c r="E17" s="11">
        <v>46303.0</v>
      </c>
      <c r="F17" s="11">
        <v>46311.0</v>
      </c>
      <c r="G17" s="12">
        <v>0.0</v>
      </c>
      <c r="H17" s="13" t="s">
        <v>27</v>
      </c>
      <c r="I17" s="14" t="str">
        <f t="shared" ref="I17:U17" si="9">IF(AND(I$8&lt;=$F17,I$8+6&gt;=$E17),"■","")</f>
        <v/>
      </c>
      <c r="J17" s="14" t="str">
        <f t="shared" si="9"/>
        <v/>
      </c>
      <c r="K17" s="14" t="str">
        <f t="shared" si="9"/>
        <v/>
      </c>
      <c r="L17" s="14" t="str">
        <f t="shared" si="9"/>
        <v/>
      </c>
      <c r="M17" s="14" t="str">
        <f t="shared" si="9"/>
        <v>■</v>
      </c>
      <c r="N17" s="14" t="str">
        <f t="shared" si="9"/>
        <v>■</v>
      </c>
      <c r="O17" s="14" t="str">
        <f t="shared" si="9"/>
        <v/>
      </c>
      <c r="P17" s="14" t="str">
        <f t="shared" si="9"/>
        <v/>
      </c>
      <c r="Q17" s="14" t="str">
        <f t="shared" si="9"/>
        <v/>
      </c>
      <c r="R17" s="14" t="str">
        <f t="shared" si="9"/>
        <v/>
      </c>
      <c r="S17" s="14" t="str">
        <f t="shared" si="9"/>
        <v/>
      </c>
      <c r="T17" s="14" t="str">
        <f t="shared" si="9"/>
        <v/>
      </c>
      <c r="U17" s="14" t="str">
        <f t="shared" si="9"/>
        <v/>
      </c>
    </row>
    <row r="18">
      <c r="A18" s="10" t="s">
        <v>40</v>
      </c>
      <c r="B18" s="10" t="s">
        <v>36</v>
      </c>
      <c r="C18" s="15" t="s">
        <v>34</v>
      </c>
      <c r="D18" s="10" t="s">
        <v>29</v>
      </c>
      <c r="E18" s="11">
        <v>46307.0</v>
      </c>
      <c r="F18" s="11">
        <v>46316.0</v>
      </c>
      <c r="G18" s="12">
        <v>0.0</v>
      </c>
      <c r="H18" s="13" t="s">
        <v>27</v>
      </c>
      <c r="I18" s="14" t="str">
        <f t="shared" ref="I18:U18" si="10">IF(AND(I$8&lt;=$F18,I$8+6&gt;=$E18),"■","")</f>
        <v/>
      </c>
      <c r="J18" s="14" t="str">
        <f t="shared" si="10"/>
        <v/>
      </c>
      <c r="K18" s="14" t="str">
        <f t="shared" si="10"/>
        <v/>
      </c>
      <c r="L18" s="14" t="str">
        <f t="shared" si="10"/>
        <v/>
      </c>
      <c r="M18" s="14" t="str">
        <f t="shared" si="10"/>
        <v/>
      </c>
      <c r="N18" s="14" t="str">
        <f t="shared" si="10"/>
        <v>■</v>
      </c>
      <c r="O18" s="14" t="str">
        <f t="shared" si="10"/>
        <v>■</v>
      </c>
      <c r="P18" s="14" t="str">
        <f t="shared" si="10"/>
        <v/>
      </c>
      <c r="Q18" s="14" t="str">
        <f t="shared" si="10"/>
        <v/>
      </c>
      <c r="R18" s="14" t="str">
        <f t="shared" si="10"/>
        <v/>
      </c>
      <c r="S18" s="14" t="str">
        <f t="shared" si="10"/>
        <v/>
      </c>
      <c r="T18" s="14" t="str">
        <f t="shared" si="10"/>
        <v/>
      </c>
      <c r="U18" s="14" t="str">
        <f t="shared" si="10"/>
        <v/>
      </c>
    </row>
    <row r="19">
      <c r="A19" s="10" t="s">
        <v>41</v>
      </c>
      <c r="B19" s="10" t="s">
        <v>36</v>
      </c>
      <c r="C19" s="15" t="s">
        <v>42</v>
      </c>
      <c r="D19" s="10" t="s">
        <v>29</v>
      </c>
      <c r="E19" s="11">
        <v>46314.0</v>
      </c>
      <c r="F19" s="11">
        <v>46318.0</v>
      </c>
      <c r="G19" s="12">
        <v>0.0</v>
      </c>
      <c r="H19" s="13" t="s">
        <v>27</v>
      </c>
      <c r="I19" s="14" t="str">
        <f t="shared" ref="I19:U19" si="11">IF(AND(I$8&lt;=$F19,I$8+6&gt;=$E19),"■","")</f>
        <v/>
      </c>
      <c r="J19" s="14" t="str">
        <f t="shared" si="11"/>
        <v/>
      </c>
      <c r="K19" s="14" t="str">
        <f t="shared" si="11"/>
        <v/>
      </c>
      <c r="L19" s="14" t="str">
        <f t="shared" si="11"/>
        <v/>
      </c>
      <c r="M19" s="14" t="str">
        <f t="shared" si="11"/>
        <v/>
      </c>
      <c r="N19" s="14" t="str">
        <f t="shared" si="11"/>
        <v/>
      </c>
      <c r="O19" s="14" t="str">
        <f t="shared" si="11"/>
        <v>■</v>
      </c>
      <c r="P19" s="14" t="str">
        <f t="shared" si="11"/>
        <v/>
      </c>
      <c r="Q19" s="14" t="str">
        <f t="shared" si="11"/>
        <v/>
      </c>
      <c r="R19" s="14" t="str">
        <f t="shared" si="11"/>
        <v/>
      </c>
      <c r="S19" s="14" t="str">
        <f t="shared" si="11"/>
        <v/>
      </c>
      <c r="T19" s="14" t="str">
        <f t="shared" si="11"/>
        <v/>
      </c>
      <c r="U19" s="14" t="str">
        <f t="shared" si="11"/>
        <v/>
      </c>
    </row>
    <row r="20">
      <c r="A20" s="10" t="s">
        <v>43</v>
      </c>
      <c r="B20" s="10" t="s">
        <v>36</v>
      </c>
      <c r="C20" s="15" t="s">
        <v>42</v>
      </c>
      <c r="D20" s="10" t="s">
        <v>29</v>
      </c>
      <c r="E20" s="11">
        <v>46317.0</v>
      </c>
      <c r="F20" s="11">
        <v>46325.0</v>
      </c>
      <c r="G20" s="12">
        <v>0.0</v>
      </c>
      <c r="H20" s="13" t="s">
        <v>24</v>
      </c>
      <c r="I20" s="14" t="str">
        <f t="shared" ref="I20:U20" si="12">IF(AND(I$8&lt;=$F20,I$8+6&gt;=$E20),"■","")</f>
        <v/>
      </c>
      <c r="J20" s="14" t="str">
        <f t="shared" si="12"/>
        <v/>
      </c>
      <c r="K20" s="14" t="str">
        <f t="shared" si="12"/>
        <v/>
      </c>
      <c r="L20" s="14" t="str">
        <f t="shared" si="12"/>
        <v/>
      </c>
      <c r="M20" s="14" t="str">
        <f t="shared" si="12"/>
        <v/>
      </c>
      <c r="N20" s="14" t="str">
        <f t="shared" si="12"/>
        <v/>
      </c>
      <c r="O20" s="14" t="str">
        <f t="shared" si="12"/>
        <v>■</v>
      </c>
      <c r="P20" s="14" t="str">
        <f t="shared" si="12"/>
        <v>■</v>
      </c>
      <c r="Q20" s="14" t="str">
        <f t="shared" si="12"/>
        <v/>
      </c>
      <c r="R20" s="14" t="str">
        <f t="shared" si="12"/>
        <v/>
      </c>
      <c r="S20" s="14" t="str">
        <f t="shared" si="12"/>
        <v/>
      </c>
      <c r="T20" s="14" t="str">
        <f t="shared" si="12"/>
        <v/>
      </c>
      <c r="U20" s="14" t="str">
        <f t="shared" si="12"/>
        <v/>
      </c>
    </row>
    <row r="21" ht="15.75" customHeight="1">
      <c r="A21" s="10" t="s">
        <v>44</v>
      </c>
      <c r="B21" s="10" t="s">
        <v>45</v>
      </c>
      <c r="C21" s="15" t="s">
        <v>34</v>
      </c>
      <c r="D21" s="10" t="s">
        <v>29</v>
      </c>
      <c r="E21" s="11">
        <v>46324.0</v>
      </c>
      <c r="F21" s="11">
        <v>46332.0</v>
      </c>
      <c r="G21" s="12">
        <v>0.0</v>
      </c>
      <c r="H21" s="13" t="s">
        <v>27</v>
      </c>
      <c r="I21" s="14" t="str">
        <f t="shared" ref="I21:U21" si="13">IF(AND(I$8&lt;=$F21,I$8+6&gt;=$E21),"■","")</f>
        <v/>
      </c>
      <c r="J21" s="14" t="str">
        <f t="shared" si="13"/>
        <v/>
      </c>
      <c r="K21" s="14" t="str">
        <f t="shared" si="13"/>
        <v/>
      </c>
      <c r="L21" s="14" t="str">
        <f t="shared" si="13"/>
        <v/>
      </c>
      <c r="M21" s="14" t="str">
        <f t="shared" si="13"/>
        <v/>
      </c>
      <c r="N21" s="14" t="str">
        <f t="shared" si="13"/>
        <v/>
      </c>
      <c r="O21" s="14" t="str">
        <f t="shared" si="13"/>
        <v/>
      </c>
      <c r="P21" s="14" t="str">
        <f t="shared" si="13"/>
        <v>■</v>
      </c>
      <c r="Q21" s="14" t="str">
        <f t="shared" si="13"/>
        <v>■</v>
      </c>
      <c r="R21" s="14" t="str">
        <f t="shared" si="13"/>
        <v/>
      </c>
      <c r="S21" s="14" t="str">
        <f t="shared" si="13"/>
        <v/>
      </c>
      <c r="T21" s="14" t="str">
        <f t="shared" si="13"/>
        <v/>
      </c>
      <c r="U21" s="14" t="str">
        <f t="shared" si="13"/>
        <v/>
      </c>
    </row>
    <row r="22" ht="15.75" customHeight="1">
      <c r="A22" s="10" t="s">
        <v>46</v>
      </c>
      <c r="B22" s="10" t="s">
        <v>45</v>
      </c>
      <c r="C22" s="15" t="s">
        <v>42</v>
      </c>
      <c r="D22" s="10" t="s">
        <v>29</v>
      </c>
      <c r="E22" s="11">
        <v>46328.0</v>
      </c>
      <c r="F22" s="11">
        <v>46337.0</v>
      </c>
      <c r="G22" s="12">
        <v>0.0</v>
      </c>
      <c r="H22" s="13" t="s">
        <v>27</v>
      </c>
      <c r="I22" s="14" t="str">
        <f t="shared" ref="I22:U22" si="14">IF(AND(I$8&lt;=$F22,I$8+6&gt;=$E22),"■","")</f>
        <v/>
      </c>
      <c r="J22" s="14" t="str">
        <f t="shared" si="14"/>
        <v/>
      </c>
      <c r="K22" s="14" t="str">
        <f t="shared" si="14"/>
        <v/>
      </c>
      <c r="L22" s="14" t="str">
        <f t="shared" si="14"/>
        <v/>
      </c>
      <c r="M22" s="14" t="str">
        <f t="shared" si="14"/>
        <v/>
      </c>
      <c r="N22" s="14" t="str">
        <f t="shared" si="14"/>
        <v/>
      </c>
      <c r="O22" s="14" t="str">
        <f t="shared" si="14"/>
        <v/>
      </c>
      <c r="P22" s="14" t="str">
        <f t="shared" si="14"/>
        <v/>
      </c>
      <c r="Q22" s="14" t="str">
        <f t="shared" si="14"/>
        <v>■</v>
      </c>
      <c r="R22" s="14" t="str">
        <f t="shared" si="14"/>
        <v>■</v>
      </c>
      <c r="S22" s="14" t="str">
        <f t="shared" si="14"/>
        <v/>
      </c>
      <c r="T22" s="14" t="str">
        <f t="shared" si="14"/>
        <v/>
      </c>
      <c r="U22" s="14" t="str">
        <f t="shared" si="14"/>
        <v/>
      </c>
    </row>
    <row r="23" ht="15.75" customHeight="1">
      <c r="A23" s="10" t="s">
        <v>47</v>
      </c>
      <c r="B23" s="10" t="s">
        <v>45</v>
      </c>
      <c r="C23" s="15" t="s">
        <v>42</v>
      </c>
      <c r="D23" s="10" t="s">
        <v>29</v>
      </c>
      <c r="E23" s="11">
        <v>46335.0</v>
      </c>
      <c r="F23" s="11">
        <v>46344.0</v>
      </c>
      <c r="G23" s="12">
        <v>0.0</v>
      </c>
      <c r="H23" s="13" t="s">
        <v>24</v>
      </c>
      <c r="I23" s="14" t="str">
        <f t="shared" ref="I23:U23" si="15">IF(AND(I$8&lt;=$F23,I$8+6&gt;=$E23),"■","")</f>
        <v/>
      </c>
      <c r="J23" s="14" t="str">
        <f t="shared" si="15"/>
        <v/>
      </c>
      <c r="K23" s="14" t="str">
        <f t="shared" si="15"/>
        <v/>
      </c>
      <c r="L23" s="14" t="str">
        <f t="shared" si="15"/>
        <v/>
      </c>
      <c r="M23" s="14" t="str">
        <f t="shared" si="15"/>
        <v/>
      </c>
      <c r="N23" s="14" t="str">
        <f t="shared" si="15"/>
        <v/>
      </c>
      <c r="O23" s="14" t="str">
        <f t="shared" si="15"/>
        <v/>
      </c>
      <c r="P23" s="14" t="str">
        <f t="shared" si="15"/>
        <v/>
      </c>
      <c r="Q23" s="14" t="str">
        <f t="shared" si="15"/>
        <v/>
      </c>
      <c r="R23" s="14" t="str">
        <f t="shared" si="15"/>
        <v>■</v>
      </c>
      <c r="S23" s="14" t="str">
        <f t="shared" si="15"/>
        <v>■</v>
      </c>
      <c r="T23" s="14" t="str">
        <f t="shared" si="15"/>
        <v/>
      </c>
      <c r="U23" s="14" t="str">
        <f t="shared" si="15"/>
        <v/>
      </c>
    </row>
    <row r="24" ht="15.75" customHeight="1">
      <c r="A24" s="10" t="s">
        <v>48</v>
      </c>
      <c r="B24" s="10" t="s">
        <v>49</v>
      </c>
      <c r="C24" s="15" t="s">
        <v>42</v>
      </c>
      <c r="D24" s="10" t="s">
        <v>29</v>
      </c>
      <c r="E24" s="11">
        <v>46342.0</v>
      </c>
      <c r="F24" s="11">
        <v>46346.0</v>
      </c>
      <c r="G24" s="12">
        <v>0.0</v>
      </c>
      <c r="H24" s="13" t="s">
        <v>24</v>
      </c>
      <c r="I24" s="14" t="str">
        <f t="shared" ref="I24:U24" si="16">IF(AND(I$8&lt;=$F24,I$8+6&gt;=$E24),"■","")</f>
        <v/>
      </c>
      <c r="J24" s="14" t="str">
        <f t="shared" si="16"/>
        <v/>
      </c>
      <c r="K24" s="14" t="str">
        <f t="shared" si="16"/>
        <v/>
      </c>
      <c r="L24" s="14" t="str">
        <f t="shared" si="16"/>
        <v/>
      </c>
      <c r="M24" s="14" t="str">
        <f t="shared" si="16"/>
        <v/>
      </c>
      <c r="N24" s="14" t="str">
        <f t="shared" si="16"/>
        <v/>
      </c>
      <c r="O24" s="14" t="str">
        <f t="shared" si="16"/>
        <v/>
      </c>
      <c r="P24" s="14" t="str">
        <f t="shared" si="16"/>
        <v/>
      </c>
      <c r="Q24" s="14" t="str">
        <f t="shared" si="16"/>
        <v/>
      </c>
      <c r="R24" s="14" t="str">
        <f t="shared" si="16"/>
        <v/>
      </c>
      <c r="S24" s="14" t="str">
        <f t="shared" si="16"/>
        <v>■</v>
      </c>
      <c r="T24" s="14" t="str">
        <f t="shared" si="16"/>
        <v/>
      </c>
      <c r="U24" s="14" t="str">
        <f t="shared" si="16"/>
        <v/>
      </c>
    </row>
    <row r="25" ht="15.75" customHeight="1">
      <c r="A25" s="10" t="s">
        <v>50</v>
      </c>
      <c r="B25" s="10" t="s">
        <v>51</v>
      </c>
      <c r="C25" s="10" t="s">
        <v>52</v>
      </c>
      <c r="D25" s="10" t="s">
        <v>29</v>
      </c>
      <c r="E25" s="11">
        <v>46345.0</v>
      </c>
      <c r="F25" s="11">
        <v>46353.0</v>
      </c>
      <c r="G25" s="12">
        <v>0.0</v>
      </c>
      <c r="H25" s="13" t="s">
        <v>27</v>
      </c>
      <c r="I25" s="14" t="str">
        <f t="shared" ref="I25:U25" si="17">IF(AND(I$8&lt;=$F25,I$8+6&gt;=$E25),"■","")</f>
        <v/>
      </c>
      <c r="J25" s="14" t="str">
        <f t="shared" si="17"/>
        <v/>
      </c>
      <c r="K25" s="14" t="str">
        <f t="shared" si="17"/>
        <v/>
      </c>
      <c r="L25" s="14" t="str">
        <f t="shared" si="17"/>
        <v/>
      </c>
      <c r="M25" s="14" t="str">
        <f t="shared" si="17"/>
        <v/>
      </c>
      <c r="N25" s="14" t="str">
        <f t="shared" si="17"/>
        <v/>
      </c>
      <c r="O25" s="14" t="str">
        <f t="shared" si="17"/>
        <v/>
      </c>
      <c r="P25" s="14" t="str">
        <f t="shared" si="17"/>
        <v/>
      </c>
      <c r="Q25" s="14" t="str">
        <f t="shared" si="17"/>
        <v/>
      </c>
      <c r="R25" s="14" t="str">
        <f t="shared" si="17"/>
        <v/>
      </c>
      <c r="S25" s="14" t="str">
        <f t="shared" si="17"/>
        <v>■</v>
      </c>
      <c r="T25" s="14" t="str">
        <f t="shared" si="17"/>
        <v>■</v>
      </c>
      <c r="U25" s="14" t="str">
        <f t="shared" si="17"/>
        <v/>
      </c>
    </row>
    <row r="26" ht="15.75" customHeight="1">
      <c r="A26" s="10" t="s">
        <v>53</v>
      </c>
      <c r="B26" s="10" t="s">
        <v>51</v>
      </c>
      <c r="C26" s="10" t="s">
        <v>54</v>
      </c>
      <c r="D26" s="10" t="s">
        <v>29</v>
      </c>
      <c r="E26" s="11">
        <v>46356.0</v>
      </c>
      <c r="F26" s="11">
        <v>46360.0</v>
      </c>
      <c r="G26" s="12">
        <v>0.0</v>
      </c>
      <c r="H26" s="13" t="s">
        <v>24</v>
      </c>
      <c r="I26" s="14" t="str">
        <f t="shared" ref="I26:U26" si="18">IF(AND(I$8&lt;=$F26,I$8+6&gt;=$E26),"■","")</f>
        <v/>
      </c>
      <c r="J26" s="14" t="str">
        <f t="shared" si="18"/>
        <v/>
      </c>
      <c r="K26" s="14" t="str">
        <f t="shared" si="18"/>
        <v/>
      </c>
      <c r="L26" s="14" t="str">
        <f t="shared" si="18"/>
        <v/>
      </c>
      <c r="M26" s="14" t="str">
        <f t="shared" si="18"/>
        <v/>
      </c>
      <c r="N26" s="14" t="str">
        <f t="shared" si="18"/>
        <v/>
      </c>
      <c r="O26" s="14" t="str">
        <f t="shared" si="18"/>
        <v/>
      </c>
      <c r="P26" s="14" t="str">
        <f t="shared" si="18"/>
        <v/>
      </c>
      <c r="Q26" s="14" t="str">
        <f t="shared" si="18"/>
        <v/>
      </c>
      <c r="R26" s="14" t="str">
        <f t="shared" si="18"/>
        <v/>
      </c>
      <c r="S26" s="14" t="str">
        <f t="shared" si="18"/>
        <v/>
      </c>
      <c r="T26" s="14" t="str">
        <f t="shared" si="18"/>
        <v/>
      </c>
      <c r="U26" s="14" t="str">
        <f t="shared" si="18"/>
        <v>■</v>
      </c>
    </row>
    <row r="27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</row>
    <row r="28" ht="39.75" customHeight="1">
      <c r="A28" s="16" t="s">
        <v>55</v>
      </c>
    </row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U1"/>
    <mergeCell ref="A28:U28"/>
  </mergeCells>
  <conditionalFormatting sqref="D9:D26">
    <cfRule type="expression" dxfId="5" priority="1">
      <formula>D9="Complete"</formula>
    </cfRule>
  </conditionalFormatting>
  <conditionalFormatting sqref="D9:D26">
    <cfRule type="expression" dxfId="6" priority="2">
      <formula>D9="In Progress"</formula>
    </cfRule>
  </conditionalFormatting>
  <conditionalFormatting sqref="D9:D26">
    <cfRule type="expression" dxfId="7" priority="3">
      <formula>D9="Blocked"</formula>
    </cfRule>
  </conditionalFormatting>
  <conditionalFormatting sqref="I9:I26">
    <cfRule type="expression" dxfId="8" priority="4">
      <formula>I9="■"</formula>
    </cfRule>
  </conditionalFormatting>
  <conditionalFormatting sqref="J9:J26">
    <cfRule type="expression" dxfId="8" priority="5">
      <formula>J9="■"</formula>
    </cfRule>
  </conditionalFormatting>
  <conditionalFormatting sqref="K9:K26">
    <cfRule type="expression" dxfId="8" priority="6">
      <formula>K9="■"</formula>
    </cfRule>
  </conditionalFormatting>
  <conditionalFormatting sqref="L9:L26">
    <cfRule type="expression" dxfId="8" priority="7">
      <formula>L9="■"</formula>
    </cfRule>
  </conditionalFormatting>
  <conditionalFormatting sqref="M9:M26">
    <cfRule type="expression" dxfId="8" priority="8">
      <formula>M9="■"</formula>
    </cfRule>
  </conditionalFormatting>
  <conditionalFormatting sqref="N9:N26">
    <cfRule type="expression" dxfId="8" priority="9">
      <formula>N9="■"</formula>
    </cfRule>
  </conditionalFormatting>
  <conditionalFormatting sqref="O9:O26">
    <cfRule type="expression" dxfId="8" priority="10">
      <formula>O9="■"</formula>
    </cfRule>
  </conditionalFormatting>
  <conditionalFormatting sqref="P9:P26">
    <cfRule type="expression" dxfId="8" priority="11">
      <formula>P9="■"</formula>
    </cfRule>
  </conditionalFormatting>
  <conditionalFormatting sqref="Q9:Q26">
    <cfRule type="expression" dxfId="8" priority="12">
      <formula>Q9="■"</formula>
    </cfRule>
  </conditionalFormatting>
  <conditionalFormatting sqref="R9:R26">
    <cfRule type="expression" dxfId="8" priority="13">
      <formula>R9="■"</formula>
    </cfRule>
  </conditionalFormatting>
  <conditionalFormatting sqref="S9:S26">
    <cfRule type="expression" dxfId="8" priority="14">
      <formula>S9="■"</formula>
    </cfRule>
  </conditionalFormatting>
  <conditionalFormatting sqref="T9:T26">
    <cfRule type="expression" dxfId="8" priority="15">
      <formula>T9="■"</formula>
    </cfRule>
  </conditionalFormatting>
  <conditionalFormatting sqref="U9:U26">
    <cfRule type="expression" dxfId="8" priority="16">
      <formula>U9="■"</formula>
    </cfRule>
  </conditionalFormatting>
  <conditionalFormatting sqref="A9:H26">
    <cfRule type="expression" dxfId="9" priority="17">
      <formula>$H9="Yes"</formula>
    </cfRule>
  </conditionalFormatting>
  <dataValidations>
    <dataValidation type="list" allowBlank="1" sqref="D9:D26">
      <formula1>"Not Started,In Progress,Complete,Blocked"</formula1>
    </dataValidation>
    <dataValidation type="list" allowBlank="1" sqref="H9:H26">
      <formula1>"Yes,No"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